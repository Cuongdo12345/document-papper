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DF02E1A-1F62-4494-A64B-63A7A2E8D08C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Export" sheetId="1" r:id="rId1"/>
  </sheets>
  <definedNames>
    <definedName name="_xlnm._FilterDatabase" localSheetId="0" hidden="1">Export!$A$1:$K$51</definedName>
  </definedNames>
  <calcPr calcId="191029"/>
</workbook>
</file>

<file path=xl/calcChain.xml><?xml version="1.0" encoding="utf-8"?>
<calcChain xmlns="http://schemas.openxmlformats.org/spreadsheetml/2006/main">
  <c r="I52" i="1" l="1"/>
  <c r="L48" i="1"/>
</calcChain>
</file>

<file path=xl/sharedStrings.xml><?xml version="1.0" encoding="utf-8"?>
<sst xmlns="http://schemas.openxmlformats.org/spreadsheetml/2006/main" count="416" uniqueCount="142">
  <si>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</si>
  <si>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</si>
  <si>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</si>
  <si>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</si>
  <si>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</si>
  <si>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</si>
  <si>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</si>
  <si>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</si>
  <si>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</si>
  <si>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</si>
  <si>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</si>
  <si>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</si>
  <si>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PR-KNTH-2026-0205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</si>
  <si>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</si>
  <si>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</si>
  <si>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</si>
  <si>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</si>
  <si>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</si>
  <si>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</si>
  <si>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</si>
  <si>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PR-KNTH-2026-0204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</si>
  <si>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</si>
  <si>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</si>
  <si>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</si>
  <si>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</si>
  <si>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</si>
  <si>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PR-PTCKT-2026-0177</t>
  </si>
  <si>
    <t>Phòng Tài Chính Kế Toán</t>
  </si>
  <si>
    <t>PR-KNTM - LH-2026-0199</t>
  </si>
  <si>
    <t>Khoa Nội tim mạch - Lão học</t>
  </si>
  <si>
    <t>Lỗi 1 hộp mực và Sạc mực</t>
  </si>
  <si>
    <t>Drum 35A | SL:1 | 220000; Trục sạc | SL:1 | 120000</t>
  </si>
  <si>
    <t>PR-KVLTL - PHCN-2026-0067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</si>
  <si>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</si>
  <si>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</si>
  <si>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</si>
  <si>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LH-2026-0200</t>
  </si>
  <si>
    <t>8/1/2026</t>
  </si>
  <si>
    <t>Mainboard H81 | SL:1 | 2250000; CPU i3-4160 | SL:1 | 850000</t>
  </si>
  <si>
    <t>PR-KNTH-2026-0206</t>
  </si>
  <si>
    <t>Bị sọc giấy</t>
  </si>
  <si>
    <t>PR-KD-2026-0114</t>
  </si>
  <si>
    <t>Khoa Dược</t>
  </si>
  <si>
    <t>9/1/2026</t>
  </si>
  <si>
    <t>PR-NGTH-2026-0064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</si>
  <si>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</si>
  <si>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</si>
  <si>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</si>
  <si>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</si>
  <si>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PR-PĐD-NCKH-CĐT-2026-0033</t>
  </si>
  <si>
    <t>Phòng Đào Tạo - Ngiên Cứu Khoa Học - Chỉ Đạo Tuyến</t>
  </si>
  <si>
    <t>PR-KNTM - LH-2026-0201</t>
  </si>
  <si>
    <t>13/1/2026</t>
  </si>
  <si>
    <t>Sạc mực, hộp mực 78A</t>
  </si>
  <si>
    <t>PR-KNCXK-2026-0137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</si>
  <si>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</si>
  <si>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</si>
  <si>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</si>
  <si>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</si>
  <si>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</si>
  <si>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PR-PTCKT-2026-0178</t>
  </si>
  <si>
    <t>Lỗi hộp mực</t>
  </si>
  <si>
    <t>Drum 12A | SL:1 | 220000; Bộ sấy máy in | SL:1 | 350000</t>
  </si>
  <si>
    <t>PR-KCC - DS-2026-0111</t>
  </si>
  <si>
    <t>Khoa Châm cứu - Dưỡng sinh</t>
  </si>
  <si>
    <t>Bao lụa | SL:1 | 350000</t>
  </si>
  <si>
    <t>PR-KNTM - LH-2026-0202</t>
  </si>
  <si>
    <t>14/1/2026</t>
  </si>
  <si>
    <t>PR-KNCXK-2026-0138</t>
  </si>
  <si>
    <t>15/1/2026</t>
  </si>
  <si>
    <t>PR-PTCKT-2026-0179</t>
  </si>
  <si>
    <t>PR-KNTH-2026-0207</t>
  </si>
  <si>
    <t>hộp mực 78A, hộp mực 12A</t>
  </si>
  <si>
    <t>PR-KCC - DS-2026-0112</t>
  </si>
  <si>
    <t>19/1/2026</t>
  </si>
  <si>
    <t>PR-KNTM - LH-2026-0203</t>
  </si>
  <si>
    <t>Lỗi hộp mực và Sạc mực</t>
  </si>
  <si>
    <t>Bộ cuốn sấy máy in | SL:1 | 350000</t>
  </si>
  <si>
    <t>PR-NGTH-2026-0065</t>
  </si>
  <si>
    <t>Bị hỏng thay thế</t>
  </si>
  <si>
    <t>Bàn phím Logitech K120 | SL:1 | 250000; Chuột Logitech B100 | SL:1 | 140000</t>
  </si>
  <si>
    <t>PR-PTCKT-2026-0181</t>
  </si>
  <si>
    <t>20/1/2026</t>
  </si>
  <si>
    <t>Chuyển điện thoại</t>
  </si>
  <si>
    <t>PR-PTCKT-2026-0180</t>
  </si>
  <si>
    <t>PR-KNCXK-2026-0139</t>
  </si>
  <si>
    <t>PR-KNTH-2026-0208</t>
  </si>
  <si>
    <t>PR-KVLTL - PHCN-2026-0068</t>
  </si>
  <si>
    <t>PR-KD-2026-0115</t>
  </si>
  <si>
    <t>21/1/2026</t>
  </si>
  <si>
    <t>Dây mạng</t>
  </si>
  <si>
    <t>PR-KXN - CĐHA-2026-0126</t>
  </si>
  <si>
    <t>Khoa Xét nghiệm - Chẩn đoán hình ảnh</t>
  </si>
  <si>
    <t>22/1/2026</t>
  </si>
  <si>
    <t>PR-KNTM - LH-2026-0204</t>
  </si>
  <si>
    <t>23/1/2026</t>
  </si>
  <si>
    <t>PR-KKBĐK - HSCC-2026-0071</t>
  </si>
  <si>
    <t>Khoa Khám bệnh đa khoa - Hồi sức cấp cứu</t>
  </si>
  <si>
    <t>Sạc mực khám 2, khám HC, khám 1 lỗi hộp mực</t>
  </si>
  <si>
    <t>Drum 12A | SL:1 | 220000</t>
  </si>
  <si>
    <t>PR-PTCKT-2026-0182</t>
  </si>
  <si>
    <t>PR-KXN - CĐHA-2026-0127</t>
  </si>
  <si>
    <t>26/1/2026</t>
  </si>
  <si>
    <t>Mạng điện thoại</t>
  </si>
  <si>
    <t>PR-KKBĐK - HSCC-2026-0072</t>
  </si>
  <si>
    <t>PR-KCC - DS-2026-0113</t>
  </si>
  <si>
    <t>Bộ sấy máy in | SL:1 | 350000</t>
  </si>
  <si>
    <t>PR-PKHTH - VTTBYT-2026-0061</t>
  </si>
  <si>
    <t>Phòng Kế Hoạch Tổng Hợp - Vật Tư Thiết Bị Y Tế</t>
  </si>
  <si>
    <t>Cable USB nối dài 5m, Cable máy in</t>
  </si>
  <si>
    <t>PR-KXN - CĐHA-2026-0128</t>
  </si>
  <si>
    <t>27/1/2026</t>
  </si>
  <si>
    <t>Nâng cấp ổ SSD</t>
  </si>
  <si>
    <t>SSD 256Gb | SL:1 | 1459000</t>
  </si>
  <si>
    <t>PR-KXN - CĐHA-2026-0129</t>
  </si>
  <si>
    <t>28/1/2026</t>
  </si>
  <si>
    <t>Cable điện thoại</t>
  </si>
  <si>
    <t>PR-KNCXK-2026-0140</t>
  </si>
  <si>
    <t>PR-KNTH-2026-0209</t>
  </si>
  <si>
    <t>PR-PKHTH - VTTBYT-2026-0062</t>
  </si>
  <si>
    <t>Bàn phím Logitech K120, Chuột Logitech B100</t>
  </si>
  <si>
    <t>PR-KD-2026-0116</t>
  </si>
  <si>
    <t>Không lên nguồn, nâng cấp</t>
  </si>
  <si>
    <t>SSD 256Gb | SL:1 | 1459000; Nguồn máy | SL:1 | 620000; Quạt CPU | SL:1 | 295000</t>
  </si>
  <si>
    <t>PR-KNTH-2026-0210</t>
  </si>
  <si>
    <t>29/1/2026</t>
  </si>
  <si>
    <t>Drum 35A | SL:1 | 220000</t>
  </si>
  <si>
    <t>PR-BANGIAMOC-2026-0048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</si>
  <si>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</si>
  <si>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</si>
  <si>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</si>
  <si>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</si>
  <si>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DS-2026-0114</t>
  </si>
  <si>
    <t>30/1/2026</t>
  </si>
  <si>
    <t>Drum 12A | SL:1 | 220000; Trục từ | SL:1 | 120000</t>
  </si>
  <si>
    <t>PR-KNCXK-2026-0141</t>
  </si>
  <si>
    <t>Drum 35A | SL:1 | 220000; Gạt lớn | SL:1 | 100000</t>
  </si>
  <si>
    <t>PR-KD-2026-0117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</si>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</sst>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D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2"/>
  <sheetViews>
    <sheetView tabSelected="1" topLeftCell="D1" workbookViewId="0">
      <pane ySplit="1" topLeftCell="A21" activePane="bottomLeft" state="frozen"/>
      <selection pane="bottomLeft" activeCell="K51" sqref="K51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hidden="1" x14ac:dyDescent="0.3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3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3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3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hidden="1" x14ac:dyDescent="0.3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3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3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3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3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3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hidden="1" x14ac:dyDescent="0.3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3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3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3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3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3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3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hidden="1" x14ac:dyDescent="0.3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3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hidden="1" x14ac:dyDescent="0.3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hidden="1" x14ac:dyDescent="0.3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hidden="1" x14ac:dyDescent="0.3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hidden="1" x14ac:dyDescent="0.3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3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3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hidden="1" x14ac:dyDescent="0.3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3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3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3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3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hidden="1" x14ac:dyDescent="0.3">
      <c r="A33" t="s">
        <v>101</v>
      </c>
      <c r="B33" t="s">
        <v>55</v>
      </c>
      <c r="C33" t="s">
        <v>92</v>
      </c>
      <c r="D33" t="s">
        <v>57</v>
      </c>
      <c r="E33" t="s">
        <v>102</v>
      </c>
      <c r="F33" t="s">
        <v>83</v>
      </c>
      <c r="G33">
        <v>20</v>
      </c>
      <c r="H33" s="1">
        <v>25000</v>
      </c>
      <c r="I33" s="1">
        <v>500000</v>
      </c>
      <c r="J33" t="s">
        <v>103</v>
      </c>
      <c r="K33" t="s">
        <v>19</v>
      </c>
      <c r="L33" s="1">
        <v>0</v>
      </c>
    </row>
    <row r="34" spans="1:12" x14ac:dyDescent="0.3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3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hidden="1" x14ac:dyDescent="0.3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hidden="1" x14ac:dyDescent="0.3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hidden="1" x14ac:dyDescent="0.3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3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3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hidden="1" x14ac:dyDescent="0.3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hidden="1" x14ac:dyDescent="0.3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3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hidden="1" x14ac:dyDescent="0.3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3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3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3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2" x14ac:dyDescent="0.3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s="2" t="s">
        <v>138</v>
      </c>
      <c r="J48" s="1">
        <v>5640000</v>
      </c>
      <c r="L48" s="1">
        <f>SUM(L2:L46)</f>
        <v>25623000</v>
      </c>
    </row>
    <row r="49" spans="1:10" x14ac:dyDescent="0.3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s="2" t="s">
        <v>139</v>
      </c>
      <c r="J49" s="1">
        <v>5528000</v>
      </c>
    </row>
    <row r="50" spans="1:10" x14ac:dyDescent="0.3">
      <c r="A50" t="s">
        <v>19</v>
      </c>
      <c r="B50" t="s">
        <v>19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s="2" t="s">
        <v>140</v>
      </c>
      <c r="J50" s="1">
        <v>25623000</v>
      </c>
    </row>
    <row r="51" spans="1:10" s="2" customFormat="1" x14ac:dyDescent="0.3">
      <c r="A51" s="2" t="s">
        <v>19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141</v>
      </c>
      <c r="J51" s="3">
        <v>36791000</v>
      </c>
    </row>
    <row r="52" spans="1:10" x14ac:dyDescent="0.3">
      <c r="I52">
        <f>SUBTOTAL(9,I2:I47)</f>
        <v>5640000</v>
      </c>
    </row>
  </sheetData>
  <autoFilter ref="A1:K51" xr:uid="{00000000-0009-0000-0000-000000000000}">
    <filterColumn colId="3">
      <filters blank="1">
        <filter val="Giấy đề xuất thay mực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2026-03-30T03:57:01Z</dcterms:created>
  <dcterms:modified xsi:type="dcterms:W3CDTF">2026-03-30T03:57:56Z</dcterms:modified>
</cp:coreProperties>
</file>